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nas" sheetId="1" state="visible" r:id="rId1"/>
    <sheet name="Puertas" sheetId="2" state="visible" r:id="rId2"/>
    <sheet name="Hierro" sheetId="3" state="visible" r:id="rId3"/>
    <sheet name="Resumen y ahor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</cols>
  <sheetData>
    <row r="1">
      <c r="A1" s="1" t="inlineStr">
        <is>
          <t>Ventanas, cristaleras y fijos (medidas del modelo v8, huecos de obra: ancho × alto en m)</t>
        </is>
      </c>
    </row>
    <row r="3">
      <c r="A3" s="2" t="inlineStr">
        <is>
          <t>Elemento</t>
        </is>
      </c>
      <c r="B3" s="2" t="inlineStr">
        <is>
          <t>Planta</t>
        </is>
      </c>
      <c r="C3" s="2" t="inlineStr">
        <is>
          <t>Ancho (m)</t>
        </is>
      </c>
      <c r="D3" s="2" t="inlineStr">
        <is>
          <t>Alto (m)</t>
        </is>
      </c>
      <c r="E3" s="2" t="inlineStr">
        <is>
          <t>Antepecho (m)</t>
        </is>
      </c>
      <c r="F3" s="2" t="inlineStr">
        <is>
          <t>Uds</t>
        </is>
      </c>
      <c r="G3" s="2" t="inlineStr">
        <is>
          <t>Superficie total (m²)</t>
        </is>
      </c>
      <c r="H3" s="2" t="inlineStr">
        <is>
          <t>Descripción</t>
        </is>
      </c>
      <c r="I3" s="2" t="inlineStr">
        <is>
          <t>Precio unidad (€) – RELLENAR</t>
        </is>
      </c>
      <c r="J3" s="2" t="inlineStr">
        <is>
          <t>Total (€)</t>
        </is>
      </c>
    </row>
    <row r="4">
      <c r="A4" t="inlineStr">
        <is>
          <t>Cristalera del salón (norte)</t>
        </is>
      </c>
      <c r="B4" t="inlineStr">
        <is>
          <t>Planta baja</t>
        </is>
      </c>
      <c r="C4" t="n">
        <v>4</v>
      </c>
      <c r="D4" t="n">
        <v>2.55</v>
      </c>
      <c r="E4" t="n">
        <v>0</v>
      </c>
      <c r="F4" t="n">
        <v>1</v>
      </c>
      <c r="G4">
        <f>C4*D4*F4</f>
        <v/>
      </c>
      <c r="H4" t="inlineStr">
        <is>
          <t>Corredera elevable PVC + fijo, vidrio 6/16/44.2 bajo emisivo</t>
        </is>
      </c>
      <c r="I4" s="3" t="n"/>
      <c r="J4">
        <f>I4*F4</f>
        <v/>
      </c>
    </row>
    <row r="5">
      <c r="A5" t="inlineStr">
        <is>
          <t>Ventana exterior</t>
        </is>
      </c>
      <c r="B5" t="inlineStr">
        <is>
          <t>Planta baja</t>
        </is>
      </c>
      <c r="C5" t="n">
        <v>1.1</v>
      </c>
      <c r="D5" t="n">
        <v>1.3</v>
      </c>
      <c r="E5" t="n">
        <v>0.9</v>
      </c>
      <c r="F5" t="n">
        <v>1</v>
      </c>
      <c r="G5">
        <f>C5*D5*F5</f>
        <v/>
      </c>
      <c r="H5" t="inlineStr">
        <is>
          <t>PVC oscilobatiente 2 hojas, 4/16/4 bajo emisivo, persiana + contraventana</t>
        </is>
      </c>
      <c r="I5" s="3" t="n"/>
      <c r="J5">
        <f>I5*F5</f>
        <v/>
      </c>
    </row>
    <row r="6">
      <c r="A6" t="inlineStr">
        <is>
          <t>Ventana exterior</t>
        </is>
      </c>
      <c r="B6" t="inlineStr">
        <is>
          <t>Planta baja</t>
        </is>
      </c>
      <c r="C6" t="n">
        <v>1.1</v>
      </c>
      <c r="D6" t="n">
        <v>1.3</v>
      </c>
      <c r="E6" t="n">
        <v>0.9</v>
      </c>
      <c r="F6" t="n">
        <v>1</v>
      </c>
      <c r="G6">
        <f>C6*D6*F6</f>
        <v/>
      </c>
      <c r="H6" t="inlineStr">
        <is>
          <t>PVC oscilobatiente 2 hojas, 4/16/4 bajo emisivo, persiana + contraventana</t>
        </is>
      </c>
      <c r="I6" s="3" t="n"/>
      <c r="J6">
        <f>I6*F6</f>
        <v/>
      </c>
    </row>
    <row r="7">
      <c r="A7" t="inlineStr">
        <is>
          <t>Ventana exterior</t>
        </is>
      </c>
      <c r="B7" t="inlineStr">
        <is>
          <t>Planta baja</t>
        </is>
      </c>
      <c r="C7" t="n">
        <v>1</v>
      </c>
      <c r="D7" t="n">
        <v>1.1</v>
      </c>
      <c r="E7" t="n">
        <v>1.1</v>
      </c>
      <c r="F7" t="n">
        <v>1</v>
      </c>
      <c r="G7">
        <f>C7*D7*F7</f>
        <v/>
      </c>
      <c r="H7" t="inlineStr">
        <is>
          <t>PVC oscilobatiente 2 hojas, 4/16/4 bajo emisivo, persiana + contraventana</t>
        </is>
      </c>
      <c r="I7" s="3" t="n"/>
      <c r="J7">
        <f>I7*F7</f>
        <v/>
      </c>
    </row>
    <row r="8">
      <c r="A8" t="inlineStr">
        <is>
          <t>Ventana exterior</t>
        </is>
      </c>
      <c r="B8" t="inlineStr">
        <is>
          <t>Planta alta</t>
        </is>
      </c>
      <c r="C8" t="n">
        <v>1.2</v>
      </c>
      <c r="D8" t="n">
        <v>1.3</v>
      </c>
      <c r="E8" t="n">
        <v>0.9</v>
      </c>
      <c r="F8" t="n">
        <v>1</v>
      </c>
      <c r="G8">
        <f>C8*D8*F8</f>
        <v/>
      </c>
      <c r="H8" t="inlineStr">
        <is>
          <t>PVC oscilobatiente 2 hojas, 4/16/4 bajo emisivo, persiana + contraventana</t>
        </is>
      </c>
      <c r="I8" s="3" t="n"/>
      <c r="J8">
        <f>I8*F8</f>
        <v/>
      </c>
    </row>
    <row r="9">
      <c r="A9" t="inlineStr">
        <is>
          <t>Ventana exterior</t>
        </is>
      </c>
      <c r="B9" t="inlineStr">
        <is>
          <t>Planta alta</t>
        </is>
      </c>
      <c r="C9" t="n">
        <v>1.2</v>
      </c>
      <c r="D9" t="n">
        <v>1.3</v>
      </c>
      <c r="E9" t="n">
        <v>0.9</v>
      </c>
      <c r="F9" t="n">
        <v>1</v>
      </c>
      <c r="G9">
        <f>C9*D9*F9</f>
        <v/>
      </c>
      <c r="H9" t="inlineStr">
        <is>
          <t>PVC oscilobatiente 2 hojas, 4/16/4 bajo emisivo, persiana + contraventana</t>
        </is>
      </c>
      <c r="I9" s="3" t="n"/>
      <c r="J9">
        <f>I9*F9</f>
        <v/>
      </c>
    </row>
    <row r="10">
      <c r="A10" t="inlineStr">
        <is>
          <t>Ventana exterior</t>
        </is>
      </c>
      <c r="B10" t="inlineStr">
        <is>
          <t>Planta alta</t>
        </is>
      </c>
      <c r="C10" t="n">
        <v>1.2</v>
      </c>
      <c r="D10" t="n">
        <v>1.3</v>
      </c>
      <c r="E10" t="n">
        <v>0.9</v>
      </c>
      <c r="F10" t="n">
        <v>1</v>
      </c>
      <c r="G10">
        <f>C10*D10*F10</f>
        <v/>
      </c>
      <c r="H10" t="inlineStr">
        <is>
          <t>PVC oscilobatiente 2 hojas, 4/16/4 bajo emisivo, persiana + contraventana</t>
        </is>
      </c>
      <c r="I10" s="3" t="n"/>
      <c r="J10">
        <f>I10*F10</f>
        <v/>
      </c>
    </row>
    <row r="11">
      <c r="A11" t="inlineStr">
        <is>
          <t>Ventana exterior</t>
        </is>
      </c>
      <c r="B11" t="inlineStr">
        <is>
          <t>Planta alta</t>
        </is>
      </c>
      <c r="C11" t="n">
        <v>1</v>
      </c>
      <c r="D11" t="n">
        <v>1.3</v>
      </c>
      <c r="E11" t="n">
        <v>0.9</v>
      </c>
      <c r="F11" t="n">
        <v>1</v>
      </c>
      <c r="G11">
        <f>C11*D11*F11</f>
        <v/>
      </c>
      <c r="H11" t="inlineStr">
        <is>
          <t>PVC oscilobatiente 2 hojas, 4/16/4 bajo emisivo, persiana + contraventana</t>
        </is>
      </c>
      <c r="I11" s="3" t="n"/>
      <c r="J11">
        <f>I11*F11</f>
        <v/>
      </c>
    </row>
    <row r="12">
      <c r="A12" t="inlineStr">
        <is>
          <t>Ventana exterior</t>
        </is>
      </c>
      <c r="B12" t="inlineStr">
        <is>
          <t>Planta baja</t>
        </is>
      </c>
      <c r="C12" t="n">
        <v>1</v>
      </c>
      <c r="D12" t="n">
        <v>1.3</v>
      </c>
      <c r="E12" t="n">
        <v>0.9</v>
      </c>
      <c r="F12" t="n">
        <v>1</v>
      </c>
      <c r="G12">
        <f>C12*D12*F12</f>
        <v/>
      </c>
      <c r="H12" t="inlineStr">
        <is>
          <t>PVC oscilobatiente 2 hojas, 4/16/4 bajo emisivo, persiana + contraventana</t>
        </is>
      </c>
      <c r="I12" s="3" t="n"/>
      <c r="J12">
        <f>I12*F12</f>
        <v/>
      </c>
    </row>
    <row r="13">
      <c r="A13" t="inlineStr">
        <is>
          <t>Cristal fijo interior (despacho-salón)</t>
        </is>
      </c>
      <c r="B13" t="inlineStr">
        <is>
          <t>Planta baja</t>
        </is>
      </c>
      <c r="C13" t="n">
        <v>2</v>
      </c>
      <c r="D13" t="n">
        <v>2.05</v>
      </c>
      <c r="E13" t="n">
        <v>0</v>
      </c>
      <c r="F13" t="n">
        <v>1</v>
      </c>
      <c r="G13">
        <f>C13*D13*F13</f>
        <v/>
      </c>
      <c r="H13" t="inlineStr">
        <is>
          <t>Fijo con perfil PVC, vidrio laminado 33.1</t>
        </is>
      </c>
      <c r="I13" s="3" t="n"/>
      <c r="J13">
        <f>I13*F13</f>
        <v/>
      </c>
    </row>
    <row r="14">
      <c r="A14" t="inlineStr">
        <is>
          <t>Cierre acristalado de la sala familiar hacia la terraza</t>
        </is>
      </c>
      <c r="B14" t="inlineStr">
        <is>
          <t>Planta alta</t>
        </is>
      </c>
      <c r="C14" t="n">
        <v>4.63</v>
      </c>
      <c r="D14" t="n">
        <v>2.48</v>
      </c>
      <c r="E14" t="n">
        <v>0</v>
      </c>
      <c r="F14" t="n">
        <v>1</v>
      </c>
      <c r="G14">
        <f>C14*D14*F14</f>
        <v/>
      </c>
      <c r="H14" t="inlineStr">
        <is>
          <t>Fijo de suelo a techo en PVC, vidrio 4/16/4 bajo emisivo</t>
        </is>
      </c>
      <c r="I14" s="3" t="n"/>
      <c r="J14">
        <f>I14*F14</f>
        <v/>
      </c>
    </row>
    <row r="15">
      <c r="A15" s="4" t="inlineStr">
        <is>
          <t>TOTAL ventanas</t>
        </is>
      </c>
      <c r="G15">
        <f>SUM(G4:G14)</f>
        <v/>
      </c>
      <c r="J15" s="4">
        <f>SUM(J4:J14)</f>
        <v/>
      </c>
    </row>
    <row r="17">
      <c r="A17" t="inlineStr">
        <is>
          <t>Contraventanas de lamas: 2 hojas por cada ventana exterior (fachada sur y norte). Mosquiteras y persianas: según tarifa.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</cols>
  <sheetData>
    <row r="1">
      <c r="A1" s="1" t="inlineStr">
        <is>
          <t>Puertas (huecos de obra)</t>
        </is>
      </c>
    </row>
    <row r="3">
      <c r="A3" s="2" t="inlineStr">
        <is>
          <t>Elemento</t>
        </is>
      </c>
      <c r="B3" s="2" t="inlineStr">
        <is>
          <t>Planta</t>
        </is>
      </c>
      <c r="C3" s="2" t="inlineStr">
        <is>
          <t>Ancho (m)</t>
        </is>
      </c>
      <c r="D3" s="2" t="inlineStr">
        <is>
          <t>Alto (m)</t>
        </is>
      </c>
      <c r="E3" s="2" t="inlineStr">
        <is>
          <t>Uds</t>
        </is>
      </c>
      <c r="F3" s="2" t="inlineStr">
        <is>
          <t>Descripción</t>
        </is>
      </c>
      <c r="G3" s="2" t="inlineStr">
        <is>
          <t>Precio unidad (€) – RELLENAR</t>
        </is>
      </c>
      <c r="H3" s="2" t="inlineStr">
        <is>
          <t>Total (€)</t>
        </is>
      </c>
    </row>
    <row r="4">
      <c r="A4" t="inlineStr">
        <is>
          <t>Puerta exterior de entrada (2 hojas)</t>
        </is>
      </c>
      <c r="B4" t="inlineStr">
        <is>
          <t>Planta baja</t>
        </is>
      </c>
      <c r="C4" t="n">
        <v>1.4</v>
      </c>
      <c r="D4" t="n">
        <v>2.2</v>
      </c>
      <c r="E4" t="n">
        <v>1</v>
      </c>
      <c r="F4" t="inlineStr">
        <is>
          <t>PVC o hierro con vidrio, cerradura 3 puntos</t>
        </is>
      </c>
      <c r="G4" s="3" t="n"/>
      <c r="H4">
        <f>G4*E4</f>
        <v/>
      </c>
    </row>
    <row r="5">
      <c r="A5" t="inlineStr">
        <is>
          <t>Puerta exterior de la cocina al patio</t>
        </is>
      </c>
      <c r="B5" t="inlineStr">
        <is>
          <t>Planta baja</t>
        </is>
      </c>
      <c r="C5" t="n">
        <v>0.9</v>
      </c>
      <c r="D5" t="n">
        <v>2.1</v>
      </c>
      <c r="E5" t="n">
        <v>1</v>
      </c>
      <c r="F5" t="inlineStr">
        <is>
          <t>PVC o hierro con vidrio, cerradura 3 puntos</t>
        </is>
      </c>
      <c r="G5" s="3" t="n"/>
      <c r="H5">
        <f>G5*E5</f>
        <v/>
      </c>
    </row>
    <row r="6">
      <c r="A6" t="inlineStr">
        <is>
          <t>Puerta interior</t>
        </is>
      </c>
      <c r="B6" t="inlineStr">
        <is>
          <t>Planta baja</t>
        </is>
      </c>
      <c r="C6" t="n">
        <v>0.9</v>
      </c>
      <c r="D6" t="n">
        <v>2.05</v>
      </c>
      <c r="E6" t="n">
        <v>1</v>
      </c>
      <c r="F6" t="inlineStr">
        <is>
          <t>Hoja lisa lacada, marco de madera</t>
        </is>
      </c>
      <c r="G6" s="3" t="n"/>
      <c r="H6">
        <f>G6*E6</f>
        <v/>
      </c>
    </row>
    <row r="7">
      <c r="A7" t="inlineStr">
        <is>
          <t>Puerta interior corredera empotrada</t>
        </is>
      </c>
      <c r="B7" t="inlineStr">
        <is>
          <t>Planta baja</t>
        </is>
      </c>
      <c r="C7" t="n">
        <v>0.8</v>
      </c>
      <c r="D7" t="n">
        <v>2.05</v>
      </c>
      <c r="E7" t="n">
        <v>1</v>
      </c>
      <c r="F7" t="inlineStr">
        <is>
          <t>Hoja lisa lacada, marco de madera</t>
        </is>
      </c>
      <c r="G7" s="3" t="n"/>
      <c r="H7">
        <f>G7*E7</f>
        <v/>
      </c>
    </row>
    <row r="8">
      <c r="A8" t="inlineStr">
        <is>
          <t>Puerta interior</t>
        </is>
      </c>
      <c r="B8" t="inlineStr">
        <is>
          <t>Planta baja</t>
        </is>
      </c>
      <c r="C8" t="n">
        <v>0.8</v>
      </c>
      <c r="D8" t="n">
        <v>2.05</v>
      </c>
      <c r="E8" t="n">
        <v>1</v>
      </c>
      <c r="F8" t="inlineStr">
        <is>
          <t>Hoja lisa lacada, marco de madera</t>
        </is>
      </c>
      <c r="G8" s="3" t="n"/>
      <c r="H8">
        <f>G8*E8</f>
        <v/>
      </c>
    </row>
    <row r="9">
      <c r="A9" t="inlineStr">
        <is>
          <t>Puerta interior</t>
        </is>
      </c>
      <c r="B9" t="inlineStr">
        <is>
          <t>Planta baja</t>
        </is>
      </c>
      <c r="C9" t="n">
        <v>0.8</v>
      </c>
      <c r="D9" t="n">
        <v>2.05</v>
      </c>
      <c r="E9" t="n">
        <v>1</v>
      </c>
      <c r="F9" t="inlineStr">
        <is>
          <t>Hoja lisa lacada, marco de madera</t>
        </is>
      </c>
      <c r="G9" s="3" t="n"/>
      <c r="H9">
        <f>G9*E9</f>
        <v/>
      </c>
    </row>
    <row r="10">
      <c r="A10" t="inlineStr">
        <is>
          <t>Puerta interior</t>
        </is>
      </c>
      <c r="B10" t="inlineStr">
        <is>
          <t>Planta baja</t>
        </is>
      </c>
      <c r="C10" t="n">
        <v>0.85</v>
      </c>
      <c r="D10" t="n">
        <v>2.05</v>
      </c>
      <c r="E10" t="n">
        <v>1</v>
      </c>
      <c r="F10" t="inlineStr">
        <is>
          <t>Hoja lisa lacada, marco de madera</t>
        </is>
      </c>
      <c r="G10" s="3" t="n"/>
      <c r="H10">
        <f>G10*E10</f>
        <v/>
      </c>
    </row>
    <row r="11">
      <c r="A11" t="inlineStr">
        <is>
          <t>Puerta interior</t>
        </is>
      </c>
      <c r="B11" t="inlineStr">
        <is>
          <t>Planta baja</t>
        </is>
      </c>
      <c r="C11" t="n">
        <v>0.75</v>
      </c>
      <c r="D11" t="n">
        <v>2.05</v>
      </c>
      <c r="E11" t="n">
        <v>1</v>
      </c>
      <c r="F11" t="inlineStr">
        <is>
          <t>Hoja lisa lacada, marco de madera</t>
        </is>
      </c>
      <c r="G11" s="3" t="n"/>
      <c r="H11">
        <f>G11*E11</f>
        <v/>
      </c>
    </row>
    <row r="12">
      <c r="A12" t="inlineStr">
        <is>
          <t>Corredera a la terraza</t>
        </is>
      </c>
      <c r="B12" t="inlineStr">
        <is>
          <t>Planta alta</t>
        </is>
      </c>
      <c r="C12" t="n">
        <v>1.42</v>
      </c>
      <c r="D12" t="n">
        <v>2.2</v>
      </c>
      <c r="E12" t="n">
        <v>1</v>
      </c>
      <c r="F12" t="inlineStr">
        <is>
          <t>PVC corredera 2 hojas, vidrio 4/16/4 bajo emisivo</t>
        </is>
      </c>
      <c r="G12" s="3" t="n"/>
      <c r="H12">
        <f>G12*E12</f>
        <v/>
      </c>
    </row>
    <row r="13">
      <c r="A13" t="inlineStr">
        <is>
          <t>Puerta interior</t>
        </is>
      </c>
      <c r="B13" t="inlineStr">
        <is>
          <t>Planta alta</t>
        </is>
      </c>
      <c r="C13" t="n">
        <v>0.9</v>
      </c>
      <c r="D13" t="n">
        <v>2.05</v>
      </c>
      <c r="E13" t="n">
        <v>1</v>
      </c>
      <c r="F13" t="inlineStr">
        <is>
          <t>Hoja lisa lacada, marco de madera</t>
        </is>
      </c>
      <c r="G13" s="3" t="n"/>
      <c r="H13">
        <f>G13*E13</f>
        <v/>
      </c>
    </row>
    <row r="14">
      <c r="A14" t="inlineStr">
        <is>
          <t>Puerta interior</t>
        </is>
      </c>
      <c r="B14" t="inlineStr">
        <is>
          <t>Planta alta</t>
        </is>
      </c>
      <c r="C14" t="n">
        <v>0.8</v>
      </c>
      <c r="D14" t="n">
        <v>2.05</v>
      </c>
      <c r="E14" t="n">
        <v>1</v>
      </c>
      <c r="F14" t="inlineStr">
        <is>
          <t>Hoja lisa lacada, marco de madera</t>
        </is>
      </c>
      <c r="G14" s="3" t="n"/>
      <c r="H14">
        <f>G14*E14</f>
        <v/>
      </c>
    </row>
    <row r="15">
      <c r="A15" t="inlineStr">
        <is>
          <t>Puerta interior</t>
        </is>
      </c>
      <c r="B15" t="inlineStr">
        <is>
          <t>Planta alta</t>
        </is>
      </c>
      <c r="C15" t="n">
        <v>0.8</v>
      </c>
      <c r="D15" t="n">
        <v>2.05</v>
      </c>
      <c r="E15" t="n">
        <v>1</v>
      </c>
      <c r="F15" t="inlineStr">
        <is>
          <t>Hoja lisa lacada, marco de madera</t>
        </is>
      </c>
      <c r="G15" s="3" t="n"/>
      <c r="H15">
        <f>G15*E15</f>
        <v/>
      </c>
    </row>
    <row r="16">
      <c r="A16" t="inlineStr">
        <is>
          <t>Puerta interior</t>
        </is>
      </c>
      <c r="B16" t="inlineStr">
        <is>
          <t>Planta alta</t>
        </is>
      </c>
      <c r="C16" t="n">
        <v>0.75</v>
      </c>
      <c r="D16" t="n">
        <v>2.05</v>
      </c>
      <c r="E16" t="n">
        <v>1</v>
      </c>
      <c r="F16" t="inlineStr">
        <is>
          <t>Hoja lisa lacada, marco de madera</t>
        </is>
      </c>
      <c r="G16" s="3" t="n"/>
      <c r="H16">
        <f>G16*E16</f>
        <v/>
      </c>
    </row>
    <row r="17">
      <c r="A17" s="4" t="inlineStr">
        <is>
          <t>TOTAL puertas</t>
        </is>
      </c>
      <c r="H17" s="4">
        <f>SUM(H4:H16)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</cols>
  <sheetData>
    <row r="1">
      <c r="A1" s="1" t="inlineStr">
        <is>
          <t>Lista de corte y pedido de hierro (S275JR). Longitudes entre ejes de apoyo; añadir 1–2 % de merma de corte</t>
        </is>
      </c>
    </row>
    <row r="3">
      <c r="A3" s="2" t="inlineStr">
        <is>
          <t>Pieza</t>
        </is>
      </c>
      <c r="B3" s="2" t="inlineStr">
        <is>
          <t>Perfil</t>
        </is>
      </c>
      <c r="C3" s="2" t="inlineStr">
        <is>
          <t>Longitud (m)</t>
        </is>
      </c>
      <c r="D3" s="2" t="inlineStr">
        <is>
          <t>Uds</t>
        </is>
      </c>
      <c r="E3" s="2" t="inlineStr">
        <is>
          <t>kg/m</t>
        </is>
      </c>
      <c r="F3" s="2" t="inlineStr">
        <is>
          <t>Peso (kg)</t>
        </is>
      </c>
      <c r="G3" s="2" t="inlineStr">
        <is>
          <t>Precio €/kg – RELLENAR</t>
        </is>
      </c>
      <c r="H3" s="2" t="inlineStr">
        <is>
          <t>Total (€)</t>
        </is>
      </c>
    </row>
    <row r="4">
      <c r="A4" t="inlineStr">
        <is>
          <t>Vigas de forjado PB/PA</t>
        </is>
      </c>
      <c r="B4" t="inlineStr">
        <is>
          <t>HEB 140</t>
        </is>
      </c>
      <c r="C4" t="n">
        <v>8.43</v>
      </c>
      <c r="D4" t="n">
        <v>3</v>
      </c>
      <c r="E4" t="n">
        <v>33.7</v>
      </c>
      <c r="F4" t="n">
        <v>852.3</v>
      </c>
      <c r="G4" s="3" t="n"/>
      <c r="H4">
        <f>F4*G4</f>
        <v/>
      </c>
    </row>
    <row r="5">
      <c r="A5" t="inlineStr">
        <is>
          <t>Vigas de forjado PB/PA</t>
        </is>
      </c>
      <c r="B5" t="inlineStr">
        <is>
          <t>HEB 120</t>
        </is>
      </c>
      <c r="C5" t="n">
        <v>0.5</v>
      </c>
      <c r="D5" t="n">
        <v>1</v>
      </c>
      <c r="E5" t="n">
        <v>26.7</v>
      </c>
      <c r="F5" t="n">
        <v>13.3</v>
      </c>
      <c r="G5" s="3" t="n"/>
      <c r="H5">
        <f>F5*G5</f>
        <v/>
      </c>
    </row>
    <row r="6">
      <c r="A6" t="inlineStr">
        <is>
          <t>Vigas de forjado PB/PA</t>
        </is>
      </c>
      <c r="B6" t="inlineStr">
        <is>
          <t>HEB 120</t>
        </is>
      </c>
      <c r="C6" t="n">
        <v>2.45</v>
      </c>
      <c r="D6" t="n">
        <v>1</v>
      </c>
      <c r="E6" t="n">
        <v>26.7</v>
      </c>
      <c r="F6" t="n">
        <v>65.40000000000001</v>
      </c>
      <c r="G6" s="3" t="n"/>
      <c r="H6">
        <f>F6*G6</f>
        <v/>
      </c>
    </row>
    <row r="7">
      <c r="A7" t="inlineStr">
        <is>
          <t>Vigas de forjado PB/PA</t>
        </is>
      </c>
      <c r="B7" t="inlineStr">
        <is>
          <t>HEB 120</t>
        </is>
      </c>
      <c r="C7" t="n">
        <v>1.65</v>
      </c>
      <c r="D7" t="n">
        <v>1</v>
      </c>
      <c r="E7" t="n">
        <v>26.7</v>
      </c>
      <c r="F7" t="n">
        <v>44.1</v>
      </c>
      <c r="G7" s="3" t="n"/>
      <c r="H7">
        <f>F7*G7</f>
        <v/>
      </c>
    </row>
    <row r="8">
      <c r="A8" t="inlineStr">
        <is>
          <t>Vigas de forjado PB/PA</t>
        </is>
      </c>
      <c r="B8" t="inlineStr">
        <is>
          <t>HEB 120</t>
        </is>
      </c>
      <c r="C8" t="n">
        <v>2.08</v>
      </c>
      <c r="D8" t="n">
        <v>1</v>
      </c>
      <c r="E8" t="n">
        <v>26.7</v>
      </c>
      <c r="F8" t="n">
        <v>55.5</v>
      </c>
      <c r="G8" s="3" t="n"/>
      <c r="H8">
        <f>F8*G8</f>
        <v/>
      </c>
    </row>
    <row r="9">
      <c r="A9" t="inlineStr">
        <is>
          <t>Vigas de forjado PB/PA</t>
        </is>
      </c>
      <c r="B9" t="inlineStr">
        <is>
          <t>HEB 160</t>
        </is>
      </c>
      <c r="C9" t="n">
        <v>3.9</v>
      </c>
      <c r="D9" t="n">
        <v>1</v>
      </c>
      <c r="E9" t="n">
        <v>42.6</v>
      </c>
      <c r="F9" t="n">
        <v>166.1</v>
      </c>
      <c r="G9" s="3" t="n"/>
      <c r="H9">
        <f>F9*G9</f>
        <v/>
      </c>
    </row>
    <row r="10">
      <c r="A10" t="inlineStr">
        <is>
          <t>Vigas de cubierta</t>
        </is>
      </c>
      <c r="B10" t="inlineStr">
        <is>
          <t>HEB 140</t>
        </is>
      </c>
      <c r="C10" t="n">
        <v>8.43</v>
      </c>
      <c r="D10" t="n">
        <v>3</v>
      </c>
      <c r="E10" t="n">
        <v>33.7</v>
      </c>
      <c r="F10" t="n">
        <v>852.3</v>
      </c>
      <c r="G10" s="3" t="n"/>
      <c r="H10">
        <f>F10*G10</f>
        <v/>
      </c>
    </row>
    <row r="11">
      <c r="A11" t="inlineStr">
        <is>
          <t>Vigas de cubierta</t>
        </is>
      </c>
      <c r="B11" t="inlineStr">
        <is>
          <t>HEB 120</t>
        </is>
      </c>
      <c r="C11" t="n">
        <v>0.5</v>
      </c>
      <c r="D11" t="n">
        <v>1</v>
      </c>
      <c r="E11" t="n">
        <v>26.7</v>
      </c>
      <c r="F11" t="n">
        <v>13.3</v>
      </c>
      <c r="G11" s="3" t="n"/>
      <c r="H11">
        <f>F11*G11</f>
        <v/>
      </c>
    </row>
    <row r="12">
      <c r="A12" t="inlineStr">
        <is>
          <t>Vigas de cubierta</t>
        </is>
      </c>
      <c r="B12" t="inlineStr">
        <is>
          <t>HEB 120</t>
        </is>
      </c>
      <c r="C12" t="n">
        <v>2.45</v>
      </c>
      <c r="D12" t="n">
        <v>1</v>
      </c>
      <c r="E12" t="n">
        <v>26.7</v>
      </c>
      <c r="F12" t="n">
        <v>65.40000000000001</v>
      </c>
      <c r="G12" s="3" t="n"/>
      <c r="H12">
        <f>F12*G12</f>
        <v/>
      </c>
    </row>
    <row r="13">
      <c r="A13" t="inlineStr">
        <is>
          <t>Vigas de cubierta</t>
        </is>
      </c>
      <c r="B13" t="inlineStr">
        <is>
          <t>HEB 120</t>
        </is>
      </c>
      <c r="C13" t="n">
        <v>1.65</v>
      </c>
      <c r="D13" t="n">
        <v>1</v>
      </c>
      <c r="E13" t="n">
        <v>26.7</v>
      </c>
      <c r="F13" t="n">
        <v>44.1</v>
      </c>
      <c r="G13" s="3" t="n"/>
      <c r="H13">
        <f>F13*G13</f>
        <v/>
      </c>
    </row>
    <row r="14">
      <c r="A14" t="inlineStr">
        <is>
          <t>Vigas de cubierta</t>
        </is>
      </c>
      <c r="B14" t="inlineStr">
        <is>
          <t>HEB 120</t>
        </is>
      </c>
      <c r="C14" t="n">
        <v>2.08</v>
      </c>
      <c r="D14" t="n">
        <v>1</v>
      </c>
      <c r="E14" t="n">
        <v>26.7</v>
      </c>
      <c r="F14" t="n">
        <v>55.5</v>
      </c>
      <c r="G14" s="3" t="n"/>
      <c r="H14">
        <f>F14*G14</f>
        <v/>
      </c>
    </row>
    <row r="15">
      <c r="A15" t="inlineStr">
        <is>
          <t>Vigas de cubierta</t>
        </is>
      </c>
      <c r="B15" t="inlineStr">
        <is>
          <t>HEB 160</t>
        </is>
      </c>
      <c r="C15" t="n">
        <v>3.9</v>
      </c>
      <c r="D15" t="n">
        <v>1</v>
      </c>
      <c r="E15" t="n">
        <v>42.6</v>
      </c>
      <c r="F15" t="n">
        <v>166.1</v>
      </c>
      <c r="G15" s="3" t="n"/>
      <c r="H15">
        <f>F15*G15</f>
        <v/>
      </c>
    </row>
    <row r="16">
      <c r="A16" t="inlineStr">
        <is>
          <t>Pilares</t>
        </is>
      </c>
      <c r="B16" t="inlineStr">
        <is>
          <t>HEB 120</t>
        </is>
      </c>
      <c r="C16" t="n">
        <v>5.77</v>
      </c>
      <c r="D16" t="n">
        <v>6</v>
      </c>
      <c r="E16" t="n">
        <v>26.7</v>
      </c>
      <c r="F16" t="n">
        <v>924.4</v>
      </c>
      <c r="G16" s="3" t="n"/>
      <c r="H16">
        <f>F16*G16</f>
        <v/>
      </c>
    </row>
    <row r="17">
      <c r="A17" t="inlineStr">
        <is>
          <t>Dintel de la cristalera del salón</t>
        </is>
      </c>
      <c r="B17" t="inlineStr">
        <is>
          <t>HEB 160</t>
        </is>
      </c>
      <c r="C17" t="n">
        <v>4.4</v>
      </c>
      <c r="D17" t="n">
        <v>1</v>
      </c>
      <c r="E17" t="n">
        <v>42.6</v>
      </c>
      <c r="F17" t="n">
        <v>187.4</v>
      </c>
      <c r="G17" s="3" t="n"/>
      <c r="H17">
        <f>F17*G17</f>
        <v/>
      </c>
    </row>
    <row r="18">
      <c r="A18" t="inlineStr">
        <is>
          <t>Dinteles de huecos</t>
        </is>
      </c>
      <c r="B18" t="inlineStr">
        <is>
          <t>IPE 120</t>
        </is>
      </c>
      <c r="C18" t="n">
        <v>1.8</v>
      </c>
      <c r="D18" t="n">
        <v>1</v>
      </c>
      <c r="E18" t="n">
        <v>10.4</v>
      </c>
      <c r="F18" t="n">
        <v>18.7</v>
      </c>
      <c r="G18" s="3" t="n"/>
      <c r="H18">
        <f>F18*G18</f>
        <v/>
      </c>
    </row>
    <row r="19">
      <c r="A19" t="inlineStr">
        <is>
          <t>Dinteles de huecos</t>
        </is>
      </c>
      <c r="B19" t="inlineStr">
        <is>
          <t>IPE 100</t>
        </is>
      </c>
      <c r="C19" t="n">
        <v>1.5</v>
      </c>
      <c r="D19" t="n">
        <v>2</v>
      </c>
      <c r="E19" t="n">
        <v>8.1</v>
      </c>
      <c r="F19" t="n">
        <v>24.3</v>
      </c>
      <c r="G19" s="3" t="n"/>
      <c r="H19">
        <f>F19*G19</f>
        <v/>
      </c>
    </row>
    <row r="20">
      <c r="A20" t="inlineStr">
        <is>
          <t>Dinteles de huecos</t>
        </is>
      </c>
      <c r="B20" t="inlineStr">
        <is>
          <t>IPE 100</t>
        </is>
      </c>
      <c r="C20" t="n">
        <v>1.4</v>
      </c>
      <c r="D20" t="n">
        <v>3</v>
      </c>
      <c r="E20" t="n">
        <v>8.1</v>
      </c>
      <c r="F20" t="n">
        <v>34</v>
      </c>
      <c r="G20" s="3" t="n"/>
      <c r="H20">
        <f>F20*G20</f>
        <v/>
      </c>
    </row>
    <row r="21">
      <c r="A21" t="inlineStr">
        <is>
          <t>Dinteles de huecos</t>
        </is>
      </c>
      <c r="B21" t="inlineStr">
        <is>
          <t>IPE 100</t>
        </is>
      </c>
      <c r="C21" t="n">
        <v>1.3</v>
      </c>
      <c r="D21" t="n">
        <v>1</v>
      </c>
      <c r="E21" t="n">
        <v>8.1</v>
      </c>
      <c r="F21" t="n">
        <v>10.5</v>
      </c>
      <c r="G21" s="3" t="n"/>
      <c r="H21">
        <f>F21*G21</f>
        <v/>
      </c>
    </row>
    <row r="22">
      <c r="A22" t="inlineStr">
        <is>
          <t>Dinteles de huecos</t>
        </is>
      </c>
      <c r="B22" t="inlineStr">
        <is>
          <t>IPE 100</t>
        </is>
      </c>
      <c r="C22" t="n">
        <v>1.6</v>
      </c>
      <c r="D22" t="n">
        <v>3</v>
      </c>
      <c r="E22" t="n">
        <v>8.1</v>
      </c>
      <c r="F22" t="n">
        <v>38.9</v>
      </c>
      <c r="G22" s="3" t="n"/>
      <c r="H22">
        <f>F22*G22</f>
        <v/>
      </c>
    </row>
    <row r="23">
      <c r="A23" t="inlineStr">
        <is>
          <t>Placas base y cabeza de pilares + anclajes (12 uds, estimado)</t>
        </is>
      </c>
      <c r="B23" t="inlineStr"/>
      <c r="C23" t="inlineStr"/>
      <c r="D23" t="n">
        <v>12</v>
      </c>
      <c r="E23" t="inlineStr"/>
      <c r="F23" t="n">
        <v>168</v>
      </c>
      <c r="G23" s="3" t="n"/>
      <c r="H23">
        <f>F23*G23</f>
        <v/>
      </c>
    </row>
    <row r="24">
      <c r="A24" t="inlineStr">
        <is>
          <t>Escalera de acero: 2 zancas UPN + 17 peldaños + descansillo (estimado)</t>
        </is>
      </c>
      <c r="B24" t="inlineStr"/>
      <c r="C24" t="inlineStr"/>
      <c r="D24" t="n">
        <v>1</v>
      </c>
      <c r="E24" t="inlineStr"/>
      <c r="F24" t="n">
        <v>380</v>
      </c>
      <c r="G24" s="3" t="n"/>
      <c r="H24">
        <f>F24*G24</f>
        <v/>
      </c>
    </row>
    <row r="25">
      <c r="A25" t="inlineStr">
        <is>
          <t>Barandillas: lado abierto de la escalera, suelo junto al hueco y pasamanos (≈ 10 m, estimado)</t>
        </is>
      </c>
      <c r="B25" t="inlineStr"/>
      <c r="C25" t="inlineStr"/>
      <c r="D25" t="n">
        <v>10</v>
      </c>
      <c r="E25" t="inlineStr"/>
      <c r="F25" t="n">
        <v>140</v>
      </c>
      <c r="G25" s="3" t="n"/>
      <c r="H25">
        <f>F25*G25</f>
        <v/>
      </c>
    </row>
    <row r="26">
      <c r="A26" t="inlineStr">
        <is>
          <t>Soportes de 16 paneles solares, acero galvanizado (≈ 5 kg/panel, estimado)</t>
        </is>
      </c>
      <c r="B26" t="inlineStr"/>
      <c r="C26" t="inlineStr"/>
      <c r="D26" t="n">
        <v>16</v>
      </c>
      <c r="E26" t="inlineStr"/>
      <c r="F26" t="n">
        <v>80</v>
      </c>
      <c r="G26" s="3" t="n"/>
      <c r="H26">
        <f>F26*G26</f>
        <v/>
      </c>
    </row>
    <row r="27">
      <c r="A27" t="inlineStr">
        <is>
          <t>Tornillería, cartelas y piezas de unión (≈ 3 %)</t>
        </is>
      </c>
      <c r="B27" t="inlineStr"/>
      <c r="C27" t="inlineStr"/>
      <c r="D27" t="n">
        <v>1</v>
      </c>
      <c r="E27" t="inlineStr"/>
      <c r="F27" t="n">
        <v>108.9</v>
      </c>
      <c r="G27" s="3" t="n"/>
      <c r="H27">
        <f>F27*G27</f>
        <v/>
      </c>
    </row>
    <row r="28">
      <c r="A28" s="4" t="inlineStr">
        <is>
          <t>TOTAL hierro</t>
        </is>
      </c>
      <c r="F28" s="4">
        <f>SUM(F4:F27)</f>
        <v/>
      </c>
      <c r="H28" s="4">
        <f>SUM(H4:H27)</f>
        <v/>
      </c>
    </row>
    <row r="30">
      <c r="A30" t="inlineStr">
        <is>
          <t>Las filas sin perfil son estimaciones mías (escalera, barandillas, soportes solares, placas): confirmar con el taller. Las secciones de las vigas son una propuesta que debe calcular un ingeniero.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0" customWidth="1" min="8" max="8"/>
    <col width="16" customWidth="1" min="9" max="9"/>
    <col width="16" customWidth="1" min="10" max="10"/>
  </cols>
  <sheetData>
    <row r="1">
      <c r="A1" s="1" t="inlineStr">
        <is>
          <t>Resumen y ahorro frente a precio de mercado</t>
        </is>
      </c>
    </row>
    <row r="3">
      <c r="A3" s="2" t="inlineStr">
        <is>
          <t>Concepto</t>
        </is>
      </c>
      <c r="B3" s="2" t="inlineStr">
        <is>
          <t>Tu coste (€)</t>
        </is>
      </c>
      <c r="C3" s="2" t="inlineStr">
        <is>
          <t>Referencia mercado (€) – RELLENAR</t>
        </is>
      </c>
      <c r="D3" s="2" t="inlineStr">
        <is>
          <t>Ahorro (€)</t>
        </is>
      </c>
      <c r="E3" s="2" t="inlineStr">
        <is>
          <t>Ahorro (%)</t>
        </is>
      </c>
    </row>
    <row r="4">
      <c r="A4" t="inlineStr">
        <is>
          <t>Ventanas y cristaleras</t>
        </is>
      </c>
      <c r="B4">
        <f>Ventanas!J15</f>
        <v/>
      </c>
      <c r="C4" s="3" t="n"/>
      <c r="D4">
        <f>C4-B4</f>
        <v/>
      </c>
      <c r="E4" s="5">
        <f>IF(C4=0,"",D4/C4)</f>
        <v/>
      </c>
    </row>
    <row r="5">
      <c r="A5" t="inlineStr">
        <is>
          <t>Puertas</t>
        </is>
      </c>
      <c r="B5">
        <f>Puertas!H17</f>
        <v/>
      </c>
      <c r="C5" s="3" t="n"/>
      <c r="D5">
        <f>C5-B5</f>
        <v/>
      </c>
      <c r="E5" s="5">
        <f>IF(C5=0,"",D5/C5)</f>
        <v/>
      </c>
    </row>
    <row r="6">
      <c r="A6" t="inlineStr">
        <is>
          <t>Hierro (estructura, escalera, barandillas)</t>
        </is>
      </c>
      <c r="B6">
        <f>Hierro!H28</f>
        <v/>
      </c>
      <c r="C6" s="3" t="n"/>
      <c r="D6">
        <f>C6-B6</f>
        <v/>
      </c>
      <c r="E6" s="5">
        <f>IF(C6=0,"",D6/C6)</f>
        <v/>
      </c>
    </row>
    <row r="7">
      <c r="A7" t="inlineStr">
        <is>
          <t>TOTAL</t>
        </is>
      </c>
      <c r="B7">
        <f>SUM(B4:B6)</f>
        <v/>
      </c>
      <c r="C7">
        <f>SUM(C4:C6)</f>
        <v/>
      </c>
      <c r="D7">
        <f>C7-B7</f>
        <v/>
      </c>
      <c r="E7" s="5">
        <f>IF(C7=0,"",D7/C7)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2026-10-14T19:37:26Z</dcterms:created>
  <dcterms:modified xsi:type="dcterms:W3CDTF">2026-10-14T19:37:26Z</dcterms:modified>
</cp:coreProperties>
</file>